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/Documents/MATLAB/Conn_SCA10/"/>
    </mc:Choice>
  </mc:AlternateContent>
  <xr:revisionPtr revIDLastSave="0" documentId="13_ncr:1_{250C2B86-5278-B043-B594-6B755BB6688C}" xr6:coauthVersionLast="47" xr6:coauthVersionMax="47" xr10:uidLastSave="{00000000-0000-0000-0000-000000000000}"/>
  <bookViews>
    <workbookView xWindow="1100" yWindow="520" windowWidth="27820" windowHeight="28340" xr2:uid="{EF09BF69-43E9-7743-97DF-49150342F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1" l="1"/>
  <c r="E31" i="1"/>
  <c r="E24" i="1"/>
  <c r="E17" i="1"/>
  <c r="E10" i="1"/>
  <c r="E3" i="1"/>
  <c r="E36" i="1"/>
  <c r="E35" i="1"/>
  <c r="E34" i="1"/>
  <c r="E33" i="1"/>
  <c r="E32" i="1"/>
  <c r="E30" i="1"/>
  <c r="E19" i="1"/>
  <c r="E28" i="1"/>
  <c r="E21" i="1"/>
  <c r="E14" i="1"/>
  <c r="E29" i="1"/>
  <c r="E27" i="1"/>
  <c r="E22" i="1"/>
  <c r="E20" i="1"/>
  <c r="E15" i="1"/>
  <c r="E13" i="1"/>
  <c r="E8" i="1"/>
  <c r="E6" i="1"/>
  <c r="E2" i="1"/>
  <c r="E26" i="1"/>
  <c r="E25" i="1"/>
  <c r="E23" i="1"/>
  <c r="E18" i="1"/>
  <c r="E16" i="1"/>
  <c r="E12" i="1"/>
  <c r="E11" i="1"/>
  <c r="E9" i="1"/>
  <c r="E5" i="1"/>
  <c r="E4" i="1"/>
</calcChain>
</file>

<file path=xl/sharedStrings.xml><?xml version="1.0" encoding="utf-8"?>
<sst xmlns="http://schemas.openxmlformats.org/spreadsheetml/2006/main" count="8" uniqueCount="8">
  <si>
    <t>X</t>
  </si>
  <si>
    <t>Y</t>
  </si>
  <si>
    <t>Z</t>
  </si>
  <si>
    <t>middle_cerebellar</t>
  </si>
  <si>
    <t>rigth_cerebral_cortex</t>
  </si>
  <si>
    <t>fusiform_cortex</t>
  </si>
  <si>
    <t>cerebello_left</t>
  </si>
  <si>
    <t>cerebello_rigth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</si>
</sst>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3588-D2A8-094C-8EBB-2FD40CCAF06C}">
  <dimension ref="A1:E36"/>
  <sheetViews>
    <sheetView tabSelected="1" zoomScale="130" zoomScaleNormal="130" workbookViewId="0">
      <selection activeCell="E9" sqref="E9"/>
    </sheetView>
  </sheetViews>
  <sheetFormatPr baseColWidth="10" defaultRowHeight="16" x14ac:dyDescent="0.2"/>
  <cols>
    <col min="1" max="1" width="20.33203125" bestFit="1" customWidth="1"/>
    <col min="5" max="5" width="108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</row>
    <row r="2" spans="1:5" x14ac:dyDescent="0.2">
      <c r="A2" s="2" t="s">
        <v>3</v>
      </c>
      <c r="B2">
        <v>31</v>
      </c>
      <c r="C2">
        <v>35</v>
      </c>
      <c r="D2">
        <v>17</v>
      </c>
      <c r="E2" t="str">
        <f>_xlfn.CONCAT("fslmaths $FSLDIR/data/standard/MNI152_T1_2mm.nii.gz -mul 0 -add 1 -roi ", B2, " 1 ", C2,"  1 ", D2," 1 0 1 ",A2," -odt float")</f>
        <v>fslmaths $FSLDIR/data/standard/MNI152_T1_2mm.nii.gz -mul 0 -add 1 -roi 31 1 35  1 17 1 0 1 middle_cerebellar -odt float</v>
      </c>
    </row>
    <row r="3" spans="1:5" x14ac:dyDescent="0.2">
      <c r="E3" t="str">
        <f>_xlfn.CONCAT("fslmaths ",A2,".nii.gz -kernel sphere 6 -fmean ",A2,"_sphere.nii.gz -odt float")</f>
        <v>fslmaths middle_cerebellar.nii.gz -kernel sphere 6 -fmean middle_cerebellar_sphere.nii.gz -odt float</v>
      </c>
    </row>
    <row r="4" spans="1:5" x14ac:dyDescent="0.2">
      <c r="E4" t="str">
        <f>_xlfn.CONCAT("fslmaths ",A2,"_sphere.nii.gz -bin ",A2,"_sphere_bin.nii.gz")</f>
        <v>fslmaths middle_cerebellar_sphere.nii.gz -bin middle_cerebellar_sphere_bin.nii.gz</v>
      </c>
    </row>
    <row r="5" spans="1:5" x14ac:dyDescent="0.2">
      <c r="E5" t="str">
        <f>_xlfn.CONCAT("for i in $(ls nifti*); do fslmeants -i $i -m ",A2,"_sphere_bin.nii.gz &gt; ${i/%.nii/}.txt ; done")</f>
        <v>for i in $(ls nifti*); do fslmeants -i $i -m middle_cerebellar_sphere_bin.nii.gz &gt; ${i/%.nii/}.txt ; done</v>
      </c>
    </row>
    <row r="6" spans="1:5" x14ac:dyDescent="0.2">
      <c r="E6" t="str">
        <f>_xlfn.CONCAT("mkdir ",A2)</f>
        <v>mkdir middle_cerebellar</v>
      </c>
    </row>
    <row r="7" spans="1:5" x14ac:dyDescent="0.2">
      <c r="E7" t="str">
        <f>_xlfn.CONCAT("mv *txt ./", A2)</f>
        <v>mv *txt ./middle_cerebellar</v>
      </c>
    </row>
    <row r="8" spans="1:5" x14ac:dyDescent="0.2">
      <c r="E8" t="str">
        <f>_xlfn.CONCAT("mv ",MID(A2,1,8),"**gz ./",A2)</f>
        <v>mv middle_c**gz ./middle_cerebellar</v>
      </c>
    </row>
    <row r="9" spans="1:5" x14ac:dyDescent="0.2">
      <c r="A9" s="2" t="s">
        <v>4</v>
      </c>
      <c r="B9">
        <v>31</v>
      </c>
      <c r="C9">
        <v>53</v>
      </c>
      <c r="D9">
        <v>68</v>
      </c>
      <c r="E9" t="str">
        <f>_xlfn.CONCAT("fslmaths $FSLDIR/data/standard/MNI152_T1_2mm.nii.gz -mul 0 -add 1 -roi ", B9, " 1 ", C9,"  1 ", D9," 1 0 1 ",A9," -odt float")</f>
        <v>fslmaths $FSLDIR/data/standard/MNI152_T1_2mm.nii.gz -mul 0 -add 1 -roi 31 1 53  1 68 1 0 1 rigth_cerebral_cortex -odt float</v>
      </c>
    </row>
    <row r="10" spans="1:5" x14ac:dyDescent="0.2">
      <c r="E10" t="str">
        <f>_xlfn.CONCAT("fslmaths ",A9,".nii.gz -kernel sphere 6 -fmean ",A9,"_sphere.nii.gz -odt float")</f>
        <v>fslmaths rigth_cerebral_cortex.nii.gz -kernel sphere 6 -fmean rigth_cerebral_cortex_sphere.nii.gz -odt float</v>
      </c>
    </row>
    <row r="11" spans="1:5" x14ac:dyDescent="0.2">
      <c r="E11" t="str">
        <f>_xlfn.CONCAT("fslmaths ",A9,"_sphere.nii.gz -bin ",A9,"_sphere_bin.nii.gz")</f>
        <v>fslmaths rigth_cerebral_cortex_sphere.nii.gz -bin rigth_cerebral_cortex_sphere_bin.nii.gz</v>
      </c>
    </row>
    <row r="12" spans="1:5" x14ac:dyDescent="0.2">
      <c r="E12" t="str">
        <f>_xlfn.CONCAT("for i in $(ls nifti*); do fslmeants -i $i -m ",A9,"_sphere_bin.nii.gz &gt; ${i/%.nii/}.txt ; done")</f>
        <v>for i in $(ls nifti*); do fslmeants -i $i -m rigth_cerebral_cortex_sphere_bin.nii.gz &gt; ${i/%.nii/}.txt ; done</v>
      </c>
    </row>
    <row r="13" spans="1:5" x14ac:dyDescent="0.2">
      <c r="E13" t="str">
        <f>_xlfn.CONCAT("mkdir ",A9)</f>
        <v>mkdir rigth_cerebral_cortex</v>
      </c>
    </row>
    <row r="14" spans="1:5" x14ac:dyDescent="0.2">
      <c r="E14" t="str">
        <f>_xlfn.CONCAT("mv *txt ./", A9)</f>
        <v>mv *txt ./rigth_cerebral_cortex</v>
      </c>
    </row>
    <row r="15" spans="1:5" x14ac:dyDescent="0.2">
      <c r="E15" t="str">
        <f>_xlfn.CONCAT("mv ",MID(A9,1,8),"**gz ./",A9)</f>
        <v>mv rigth_ce**gz ./rigth_cerebral_cortex</v>
      </c>
    </row>
    <row r="16" spans="1:5" x14ac:dyDescent="0.2">
      <c r="A16" s="2" t="s">
        <v>5</v>
      </c>
      <c r="B16">
        <v>27</v>
      </c>
      <c r="C16">
        <v>37</v>
      </c>
      <c r="D16">
        <v>24</v>
      </c>
      <c r="E16" t="str">
        <f>_xlfn.CONCAT("fslmaths $FSLDIR/data/standard/MNI152_T1_2mm.nii.gz -mul 0 -add 1 -roi ", B16, " 1 ", C16,"  1 ", D16," 1 0 1 ",A16," -odt float")</f>
        <v>fslmaths $FSLDIR/data/standard/MNI152_T1_2mm.nii.gz -mul 0 -add 1 -roi 27 1 37  1 24 1 0 1 fusiform_cortex -odt float</v>
      </c>
    </row>
    <row r="17" spans="1:5" x14ac:dyDescent="0.2">
      <c r="E17" t="str">
        <f>_xlfn.CONCAT("fslmaths ",A16,".nii.gz -kernel sphere 6 -fmean ",A16,"_sphere.nii.gz -odt float")</f>
        <v>fslmaths fusiform_cortex.nii.gz -kernel sphere 6 -fmean fusiform_cortex_sphere.nii.gz -odt float</v>
      </c>
    </row>
    <row r="18" spans="1:5" x14ac:dyDescent="0.2">
      <c r="E18" t="str">
        <f>_xlfn.CONCAT("fslmaths ",A16,"_sphere.nii.gz -bin ",A16,"_sphere_bin.nii.gz")</f>
        <v>fslmaths fusiform_cortex_sphere.nii.gz -bin fusiform_cortex_sphere_bin.nii.gz</v>
      </c>
    </row>
    <row r="19" spans="1:5" x14ac:dyDescent="0.2">
      <c r="E19" t="str">
        <f>_xlfn.CONCAT("for i in $(ls nifti*); do fslmeants -i $i -m ",A16,"_sphere_bin.nii.gz &gt; ${i/%.nii/}.txt ; done")</f>
        <v>for i in $(ls nifti*); do fslmeants -i $i -m fusiform_cortex_sphere_bin.nii.gz &gt; ${i/%.nii/}.txt ; done</v>
      </c>
    </row>
    <row r="20" spans="1:5" x14ac:dyDescent="0.2">
      <c r="E20" t="str">
        <f>_xlfn.CONCAT("mkdir ",A16)</f>
        <v>mkdir fusiform_cortex</v>
      </c>
    </row>
    <row r="21" spans="1:5" x14ac:dyDescent="0.2">
      <c r="E21" t="str">
        <f>_xlfn.CONCAT("mv *txt ./", A16)</f>
        <v>mv *txt ./fusiform_cortex</v>
      </c>
    </row>
    <row r="22" spans="1:5" x14ac:dyDescent="0.2">
      <c r="E22" t="str">
        <f>_xlfn.CONCAT("mv ",MID(A16,1,8),"**gz ./",A16)</f>
        <v>mv fusiform**gz ./fusiform_cortex</v>
      </c>
    </row>
    <row r="23" spans="1:5" x14ac:dyDescent="0.2">
      <c r="A23" s="2" t="s">
        <v>7</v>
      </c>
      <c r="B23">
        <v>28</v>
      </c>
      <c r="C23">
        <v>37</v>
      </c>
      <c r="D23">
        <v>10</v>
      </c>
      <c r="E23" t="str">
        <f>_xlfn.CONCAT("fslmaths $FSLDIR/data/standard/MNI152_T1_2mm.nii.gz -mul 0 -add 1 -roi ", B23, " 1 ", C23,"  1 ", D23," 1 0 1 ",A23," -odt float")</f>
        <v>fslmaths $FSLDIR/data/standard/MNI152_T1_2mm.nii.gz -mul 0 -add 1 -roi 28 1 37  1 10 1 0 1 cerebello_rigth -odt float</v>
      </c>
    </row>
    <row r="24" spans="1:5" x14ac:dyDescent="0.2">
      <c r="E24" t="str">
        <f>_xlfn.CONCAT("fslmaths ",A23,".nii.gz -kernel sphere 6 -fmean ",A23,"_sphere.nii.gz -odt float")</f>
        <v>fslmaths cerebello_rigth.nii.gz -kernel sphere 6 -fmean cerebello_rigth_sphere.nii.gz -odt float</v>
      </c>
    </row>
    <row r="25" spans="1:5" x14ac:dyDescent="0.2">
      <c r="E25" t="str">
        <f>_xlfn.CONCAT("fslmaths ",A23,"_sphere.nii.gz -bin ",A23,"_sphere_bin.nii.gz")</f>
        <v>fslmaths cerebello_rigth_sphere.nii.gz -bin cerebello_rigth_sphere_bin.nii.gz</v>
      </c>
    </row>
    <row r="26" spans="1:5" x14ac:dyDescent="0.2">
      <c r="E26" t="str">
        <f>_xlfn.CONCAT("for i in $(ls nifti*); do fslmeants -i $i -m ",A23,"_sphere_bin.nii.gz &gt; ${i/%.nii/}.txt ; done")</f>
        <v>for i in $(ls nifti*); do fslmeants -i $i -m cerebello_rigth_sphere_bin.nii.gz &gt; ${i/%.nii/}.txt ; done</v>
      </c>
    </row>
    <row r="27" spans="1:5" x14ac:dyDescent="0.2">
      <c r="E27" t="str">
        <f>_xlfn.CONCAT("mkdir ",A23)</f>
        <v>mkdir cerebello_rigth</v>
      </c>
    </row>
    <row r="28" spans="1:5" x14ac:dyDescent="0.2">
      <c r="E28" t="str">
        <f>_xlfn.CONCAT("mv *txt ./", A23)</f>
        <v>mv *txt ./cerebello_rigth</v>
      </c>
    </row>
    <row r="29" spans="1:5" x14ac:dyDescent="0.2">
      <c r="E29" t="str">
        <f>_xlfn.CONCAT("mv ",MID(A23,1,8),"**gz ./",A23)</f>
        <v>mv cerebell**gz ./cerebello_rigth</v>
      </c>
    </row>
    <row r="30" spans="1:5" x14ac:dyDescent="0.2">
      <c r="A30" s="2" t="s">
        <v>6</v>
      </c>
      <c r="B30">
        <v>62</v>
      </c>
      <c r="C30">
        <v>38</v>
      </c>
      <c r="D30">
        <v>8</v>
      </c>
      <c r="E30" t="str">
        <f>_xlfn.CONCAT("fslmaths $FSLDIR/data/standard/MNI152_T1_2mm.nii.gz -mul 0 -add 1 -roi ", B30, " 1 ", C30,"  1 ", D30," 1 0 1 ",A30," -odt float")</f>
        <v>fslmaths $FSLDIR/data/standard/MNI152_T1_2mm.nii.gz -mul 0 -add 1 -roi 62 1 38  1 8 1 0 1 cerebello_left -odt float</v>
      </c>
    </row>
    <row r="31" spans="1:5" x14ac:dyDescent="0.2">
      <c r="E31" t="str">
        <f>_xlfn.CONCAT("fslmaths ",A30,".nii.gz -kernel sphere 6 -fmean ",A30,"_sphere.nii.gz -odt float")</f>
        <v>fslmaths cerebello_left.nii.gz -kernel sphere 6 -fmean cerebello_left_sphere.nii.gz -odt float</v>
      </c>
    </row>
    <row r="32" spans="1:5" x14ac:dyDescent="0.2">
      <c r="E32" t="str">
        <f>_xlfn.CONCAT("fslmaths ",A30,"_sphere.nii.gz -bin ",A30,"_sphere_bin.nii.gz")</f>
        <v>fslmaths cerebello_left_sphere.nii.gz -bin cerebello_left_sphere_bin.nii.gz</v>
      </c>
    </row>
    <row r="33" spans="5:5" x14ac:dyDescent="0.2">
      <c r="E33" t="str">
        <f>_xlfn.CONCAT("for i in $(ls nifti*); do fslmeants -i $i -m ",A30,"_sphere_bin.nii.gz &gt; ${i/%.nii/}.txt ; done")</f>
        <v>for i in $(ls nifti*); do fslmeants -i $i -m cerebello_left_sphere_bin.nii.gz &gt; ${i/%.nii/}.txt ; done</v>
      </c>
    </row>
    <row r="34" spans="5:5" x14ac:dyDescent="0.2">
      <c r="E34" t="str">
        <f>_xlfn.CONCAT("mkdir ",A30)</f>
        <v>mkdir cerebello_left</v>
      </c>
    </row>
    <row r="35" spans="5:5" x14ac:dyDescent="0.2">
      <c r="E35" t="str">
        <f>_xlfn.CONCAT("mv *txt ./", A30)</f>
        <v>mv *txt ./cerebello_left</v>
      </c>
    </row>
    <row r="36" spans="5:5" x14ac:dyDescent="0.2">
      <c r="E36" t="str">
        <f>_xlfn.CONCAT("mv ",MID(A30,1,8),"**gz ./",A30)</f>
        <v>mv cerebell**gz ./cerebello_left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2023-02-13T18:48:25Z</dcterms:created>
  <dcterms:modified xsi:type="dcterms:W3CDTF">2023-02-14T01:23:09Z</dcterms:modified>
</cp:coreProperties>
</file>